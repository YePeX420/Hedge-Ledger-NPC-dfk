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<sst xmlns="http://schemas.openxmlformats.org/spreadsheetml/2006/main" count="90" uniqueCount="85">
  <si>
    <t>To use this, simply update the Hero Properties to match your Hero of interest to see its Hero Score, and click the check box to generate a possible outcome with random numbers to see how much Divine Essence and Greater Divine Essence the Hero would receive</t>
  </si>
  <si>
    <t>Check box to roll random numbers ------------------&gt;</t>
  </si>
  <si>
    <t>Class Rank</t>
  </si>
  <si>
    <t>Value</t>
  </si>
  <si>
    <t>c_base</t>
  </si>
  <si>
    <t>s_base</t>
  </si>
  <si>
    <t>Rarity</t>
  </si>
  <si>
    <t>r_base</t>
  </si>
  <si>
    <t>Hero Properties</t>
  </si>
  <si>
    <t>Divine Essence Roll</t>
  </si>
  <si>
    <t>Greater Divine Essence Rolls</t>
  </si>
  <si>
    <t>Basic</t>
  </si>
  <si>
    <t>Common</t>
  </si>
  <si>
    <t>Main Class Rank</t>
  </si>
  <si>
    <t>Exalted</t>
  </si>
  <si>
    <t>Advanced</t>
  </si>
  <si>
    <t>Uncommon</t>
  </si>
  <si>
    <t>Subclass Rank</t>
  </si>
  <si>
    <t>Elite</t>
  </si>
  <si>
    <t>Rare</t>
  </si>
  <si>
    <t>Mythic</t>
  </si>
  <si>
    <t>Legendary</t>
  </si>
  <si>
    <t>Hero Level</t>
  </si>
  <si>
    <t>Transcendent</t>
  </si>
  <si>
    <t>Summons Remaining</t>
  </si>
  <si>
    <t>Selected Roll:</t>
  </si>
  <si>
    <t>Dark Summoned?</t>
  </si>
  <si>
    <t>No</t>
  </si>
  <si>
    <t>Multiplier</t>
  </si>
  <si>
    <t>Manual Rolls</t>
  </si>
  <si>
    <t>sum of stars ( a + b + c )</t>
  </si>
  <si>
    <t>star_score ( A)</t>
  </si>
  <si>
    <t>rarity</t>
  </si>
  <si>
    <t>max_tier</t>
  </si>
  <si>
    <t>rarity_score (B)</t>
  </si>
  <si>
    <t>Use Manual Rolls?</t>
  </si>
  <si>
    <t>Yes</t>
  </si>
  <si>
    <t>Enhancement Stone Used</t>
  </si>
  <si>
    <t>None</t>
  </si>
  <si>
    <t>Lesser Crystals Used</t>
  </si>
  <si>
    <t>Regular Crystals Used</t>
  </si>
  <si>
    <t>Greater Crystals Used</t>
  </si>
  <si>
    <t>Pet Rarity</t>
  </si>
  <si>
    <t>Pet Profession Bonus Star Count</t>
  </si>
  <si>
    <t>Pet Combat Bonus Star Count</t>
  </si>
  <si>
    <t>Pet Crafting Bonus Star Count</t>
  </si>
  <si>
    <t>Results:</t>
  </si>
  <si>
    <t>Calculations (Hero)</t>
  </si>
  <si>
    <t>Class_Score</t>
  </si>
  <si>
    <t>Class c_base</t>
  </si>
  <si>
    <t>Rarity_Score</t>
  </si>
  <si>
    <t>Subclass c_base</t>
  </si>
  <si>
    <t>Summon_Score</t>
  </si>
  <si>
    <t>Class s_base</t>
  </si>
  <si>
    <t>Base_Score</t>
  </si>
  <si>
    <t>Locked for 1 Month</t>
  </si>
  <si>
    <t>Subclass s_base</t>
  </si>
  <si>
    <t>Hero_Score (no multiplier)</t>
  </si>
  <si>
    <t>Class Value</t>
  </si>
  <si>
    <t>Hero_Score (w/ multiplier)</t>
  </si>
  <si>
    <t>Subclass Value</t>
  </si>
  <si>
    <t>Rarity r_base</t>
  </si>
  <si>
    <t>Divine Essence Earned From Hero</t>
  </si>
  <si>
    <t>Level score</t>
  </si>
  <si>
    <t>Divine Essence Earned From Stone</t>
  </si>
  <si>
    <t>Summon Count Valid?</t>
  </si>
  <si>
    <t>Divine Essence Earned From Crystals</t>
  </si>
  <si>
    <t>Divine Essence Earned From Pets</t>
  </si>
  <si>
    <t>Calculations (Pet)</t>
  </si>
  <si>
    <t>Total Divine Essence</t>
  </si>
  <si>
    <t>Max Tier Mod</t>
  </si>
  <si>
    <t>Star Total</t>
  </si>
  <si>
    <t>Greater Divine Essence Earned From Hero</t>
  </si>
  <si>
    <t>Star Score</t>
  </si>
  <si>
    <t>Greater Divine Essence Earned From Stone</t>
  </si>
  <si>
    <t>Star Denominator</t>
  </si>
  <si>
    <t>Greater Divine Essence Earned From Crystals</t>
  </si>
  <si>
    <t>Rarity Score</t>
  </si>
  <si>
    <t>Greater Divine Essence Earned From Pets</t>
  </si>
  <si>
    <t>Score Numerator</t>
  </si>
  <si>
    <t>Total Greater Divine Essence</t>
  </si>
  <si>
    <t>Score DE Denominator</t>
  </si>
  <si>
    <t>Score GDE Denominator</t>
  </si>
  <si>
    <t>Guaranteed Void Shards Earned</t>
  </si>
  <si>
    <t>First Void Shard Roll Chance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</si>
</sst>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Font="1"/>
    <xf borderId="0" fillId="0" fontId="3" numFmtId="0" xfId="0" applyAlignment="1" applyFont="1">
      <alignment horizontal="right" readingOrder="0" vertical="bottom"/>
    </xf>
    <xf borderId="3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0" fillId="0" fontId="3" numFmtId="0" xfId="0" applyAlignment="1" applyFont="1">
      <alignment horizontal="right" vertical="bottom"/>
    </xf>
    <xf borderId="5" fillId="0" fontId="1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63"/>
    <col customWidth="1" min="3" max="3" width="15.25"/>
    <col customWidth="1" min="5" max="5" width="17.25"/>
    <col customWidth="1" min="6" max="6" width="22.75"/>
    <col customWidth="1" min="7" max="7" width="19.38"/>
    <col customWidth="1" min="13" max="13" width="19.0"/>
  </cols>
  <sheetData>
    <row r="1">
      <c r="A1" s="1" t="s">
        <v>0</v>
      </c>
    </row>
    <row r="2">
      <c r="E2" s="2" t="s">
        <v>1</v>
      </c>
      <c r="G2" s="2" t="b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>
      <c r="A3" s="3" t="s">
        <v>8</v>
      </c>
      <c r="E3" s="2" t="s">
        <v>9</v>
      </c>
      <c r="F3" s="2" t="s">
        <v>10</v>
      </c>
      <c r="M3" s="2" t="s">
        <v>11</v>
      </c>
      <c r="N3" s="2">
        <v>0.0</v>
      </c>
      <c r="O3" s="2">
        <v>150.0</v>
      </c>
      <c r="P3" s="2">
        <v>150.0</v>
      </c>
      <c r="Q3" s="2" t="s">
        <v>12</v>
      </c>
      <c r="R3" s="2">
        <v>0.0</v>
      </c>
    </row>
    <row r="4">
      <c r="A4" s="4" t="s">
        <v>13</v>
      </c>
      <c r="B4" s="5" t="s">
        <v>14</v>
      </c>
      <c r="E4" s="2">
        <f>generateRandomNumber(G2)</f>
        <v>4</v>
      </c>
      <c r="F4" s="6">
        <f>generateRandomNumber(G2)</f>
        <v>1</v>
      </c>
      <c r="M4" s="2" t="s">
        <v>15</v>
      </c>
      <c r="N4" s="2">
        <v>1.0</v>
      </c>
      <c r="O4" s="2">
        <v>3000.0</v>
      </c>
      <c r="P4" s="2">
        <v>450.0</v>
      </c>
      <c r="Q4" s="2" t="s">
        <v>16</v>
      </c>
      <c r="R4" s="2">
        <v>1000.0</v>
      </c>
    </row>
    <row r="5">
      <c r="A5" s="7" t="s">
        <v>17</v>
      </c>
      <c r="B5" s="8" t="s">
        <v>14</v>
      </c>
      <c r="F5" s="6">
        <f>generateRandomNumber(G2)</f>
        <v>6</v>
      </c>
      <c r="M5" s="2" t="s">
        <v>18</v>
      </c>
      <c r="N5" s="2">
        <v>2.0</v>
      </c>
      <c r="O5" s="2">
        <v>9000.0</v>
      </c>
      <c r="P5" s="2">
        <v>1400.0</v>
      </c>
      <c r="Q5" s="2" t="s">
        <v>19</v>
      </c>
      <c r="R5" s="2">
        <v>3000.0</v>
      </c>
    </row>
    <row r="6">
      <c r="A6" s="7" t="s">
        <v>6</v>
      </c>
      <c r="B6" s="8" t="s">
        <v>20</v>
      </c>
      <c r="F6" s="6">
        <f>generateRandomNumber(G2)</f>
        <v>18</v>
      </c>
      <c r="M6" s="2" t="s">
        <v>14</v>
      </c>
      <c r="N6" s="2">
        <v>3.0</v>
      </c>
      <c r="O6" s="2">
        <v>25000.0</v>
      </c>
      <c r="P6" s="2">
        <v>10000.0</v>
      </c>
      <c r="Q6" s="2" t="s">
        <v>21</v>
      </c>
      <c r="R6" s="2">
        <v>8000.0</v>
      </c>
    </row>
    <row r="7">
      <c r="A7" s="7" t="s">
        <v>22</v>
      </c>
      <c r="B7" s="8">
        <v>20.0</v>
      </c>
      <c r="F7" s="6">
        <f>generateRandomNumber(G2)</f>
        <v>12</v>
      </c>
      <c r="M7" s="2" t="s">
        <v>23</v>
      </c>
      <c r="N7" s="2">
        <v>4.0</v>
      </c>
      <c r="O7" s="2">
        <v>75000.0</v>
      </c>
      <c r="P7" s="2">
        <v>30000.0</v>
      </c>
      <c r="Q7" s="2" t="s">
        <v>20</v>
      </c>
      <c r="R7" s="2">
        <v>16000.0</v>
      </c>
    </row>
    <row r="8">
      <c r="A8" s="7" t="s">
        <v>24</v>
      </c>
      <c r="B8" s="8">
        <v>1.0</v>
      </c>
      <c r="F8" s="2" t="s">
        <v>25</v>
      </c>
    </row>
    <row r="9">
      <c r="A9" s="7" t="s">
        <v>26</v>
      </c>
      <c r="B9" s="8" t="s">
        <v>27</v>
      </c>
      <c r="F9" s="9">
        <f>MIN(F4:F7)</f>
        <v>1</v>
      </c>
    </row>
    <row r="10">
      <c r="A10" s="7" t="s">
        <v>28</v>
      </c>
      <c r="B10" s="8">
        <v>1.0</v>
      </c>
      <c r="E10" s="2" t="s">
        <v>29</v>
      </c>
      <c r="M10" s="2" t="s">
        <v>30</v>
      </c>
      <c r="N10" s="2" t="s">
        <v>31</v>
      </c>
      <c r="P10" s="2" t="s">
        <v>32</v>
      </c>
      <c r="Q10" s="2" t="s">
        <v>33</v>
      </c>
      <c r="R10" s="2" t="s">
        <v>34</v>
      </c>
    </row>
    <row r="11">
      <c r="A11" s="7" t="s">
        <v>35</v>
      </c>
      <c r="B11" s="8" t="s">
        <v>36</v>
      </c>
      <c r="E11" s="2">
        <v>1.0</v>
      </c>
      <c r="F11" s="2">
        <v>1.0</v>
      </c>
      <c r="M11" s="2">
        <v>1.0</v>
      </c>
      <c r="N11" s="2">
        <v>7000.0</v>
      </c>
      <c r="P11" s="2">
        <v>0.0</v>
      </c>
      <c r="Q11" s="2">
        <v>1.0</v>
      </c>
      <c r="R11" s="2">
        <v>2000.0</v>
      </c>
      <c r="S11" s="10"/>
    </row>
    <row r="12">
      <c r="A12" s="11" t="s">
        <v>37</v>
      </c>
      <c r="B12" s="12" t="s">
        <v>38</v>
      </c>
      <c r="M12" s="2">
        <v>2.0</v>
      </c>
      <c r="N12" s="2">
        <v>10000.0</v>
      </c>
      <c r="P12" s="2">
        <v>1.0</v>
      </c>
      <c r="Q12" s="2">
        <v>2.0</v>
      </c>
      <c r="R12" s="2">
        <v>25000.0</v>
      </c>
      <c r="S12" s="10"/>
    </row>
    <row r="13">
      <c r="A13" s="11" t="s">
        <v>39</v>
      </c>
      <c r="B13" s="12">
        <v>0.0</v>
      </c>
      <c r="M13" s="2">
        <v>3.0</v>
      </c>
      <c r="N13" s="2">
        <v>19000.0</v>
      </c>
      <c r="P13" s="2">
        <v>2.0</v>
      </c>
      <c r="Q13" s="2">
        <v>3.0</v>
      </c>
      <c r="R13" s="2">
        <v>175000.0</v>
      </c>
      <c r="S13" s="13"/>
    </row>
    <row r="14">
      <c r="A14" s="11" t="s">
        <v>40</v>
      </c>
      <c r="B14" s="12">
        <v>0.0</v>
      </c>
      <c r="M14" s="2">
        <v>4.0</v>
      </c>
      <c r="N14" s="2">
        <v>28000.0</v>
      </c>
      <c r="P14" s="2">
        <v>3.0</v>
      </c>
      <c r="Q14" s="2">
        <v>3.0</v>
      </c>
      <c r="R14" s="2">
        <v>370000.0</v>
      </c>
    </row>
    <row r="15">
      <c r="A15" s="11" t="s">
        <v>41</v>
      </c>
      <c r="B15" s="12">
        <v>0.0</v>
      </c>
      <c r="M15" s="2">
        <v>5.0</v>
      </c>
      <c r="N15" s="2">
        <v>40000.0</v>
      </c>
      <c r="P15" s="2">
        <v>4.0</v>
      </c>
      <c r="Q15" s="2">
        <v>3.0</v>
      </c>
      <c r="R15" s="2">
        <v>780000.0</v>
      </c>
    </row>
    <row r="16">
      <c r="A16" s="11" t="s">
        <v>42</v>
      </c>
      <c r="B16" s="12" t="s">
        <v>20</v>
      </c>
      <c r="M16" s="2">
        <v>6.0</v>
      </c>
      <c r="N16" s="2">
        <v>75000.0</v>
      </c>
    </row>
    <row r="17">
      <c r="A17" s="11" t="s">
        <v>43</v>
      </c>
      <c r="B17" s="12">
        <v>3.0</v>
      </c>
      <c r="M17" s="2">
        <v>7.0</v>
      </c>
      <c r="N17" s="2">
        <v>225000.0</v>
      </c>
    </row>
    <row r="18">
      <c r="A18" s="11" t="s">
        <v>44</v>
      </c>
      <c r="B18" s="12">
        <v>3.0</v>
      </c>
      <c r="M18" s="2">
        <v>8.0</v>
      </c>
      <c r="N18" s="2">
        <v>450000.0</v>
      </c>
    </row>
    <row r="19">
      <c r="A19" s="14" t="s">
        <v>45</v>
      </c>
      <c r="B19" s="15">
        <v>3.0</v>
      </c>
      <c r="M19" s="2">
        <v>9.0</v>
      </c>
      <c r="N19" s="2">
        <v>1000000.0</v>
      </c>
    </row>
    <row r="20">
      <c r="A20" s="3"/>
      <c r="B20" s="3"/>
    </row>
    <row r="21">
      <c r="A21" s="16" t="s">
        <v>46</v>
      </c>
      <c r="G21" s="3" t="s">
        <v>47</v>
      </c>
    </row>
    <row r="22">
      <c r="A22" s="2" t="s">
        <v>48</v>
      </c>
      <c r="B22" s="9">
        <f>H22+0.25*H23</f>
        <v>31250</v>
      </c>
      <c r="G22" s="2" t="s">
        <v>49</v>
      </c>
      <c r="H22" s="9">
        <f>if(B4="Basic",O3,if(B4="Advanced",O4,if(B4="Elite",O5,(if(B4="Exalted",O6,if(B4="Transcendent",O7,0))))))</f>
        <v>25000</v>
      </c>
    </row>
    <row r="23">
      <c r="A23" s="2" t="s">
        <v>50</v>
      </c>
      <c r="B23" s="9">
        <f>H28*(1+H26+0.25*(1+H27))</f>
        <v>80000</v>
      </c>
      <c r="G23" s="2" t="s">
        <v>51</v>
      </c>
      <c r="H23" s="9">
        <f>if(B5="Basic",O3,if(B5="Advanced",O4,if(B5="Elite",O5,(if(B5="Exalted",O6,if(B5="Transcendent",O7,0))))))</f>
        <v>25000</v>
      </c>
    </row>
    <row r="24">
      <c r="A24" s="2" t="s">
        <v>52</v>
      </c>
      <c r="B24" s="9">
        <f>if(H30="YES",0.005*B8*(100+B7)*(H24+0.25*H25),0)</f>
        <v>7500</v>
      </c>
      <c r="G24" s="2" t="s">
        <v>53</v>
      </c>
      <c r="H24" s="9">
        <f>if(B4="Basic",P3,if(B4="Advanced",P4,if(B4="Elite",P5,(if(B4="Exalted",P6,if(B4="Transcendent",P7,0))))))</f>
        <v>10000</v>
      </c>
    </row>
    <row r="25">
      <c r="A25" s="2" t="s">
        <v>54</v>
      </c>
      <c r="B25" s="9">
        <f>SUM(B22:B24)</f>
        <v>118750</v>
      </c>
      <c r="C25" s="2" t="s">
        <v>55</v>
      </c>
      <c r="G25" s="2" t="s">
        <v>56</v>
      </c>
      <c r="H25" s="9">
        <f>if(B5="Basic",P3,if(B5="Advanced",P4,if(B5="Elite",P5,(if(B5="Exalted",P6,if(B5="Transcendent",P7,0))))))</f>
        <v>10000</v>
      </c>
    </row>
    <row r="26">
      <c r="A26" s="16" t="s">
        <v>57</v>
      </c>
      <c r="B26" s="9">
        <f>(0.01+0.00007*B7)*(B25*H29)+B25</f>
        <v>206743.75</v>
      </c>
      <c r="C26" s="9">
        <f>B26/6</f>
        <v>34457.29167</v>
      </c>
      <c r="G26" s="2" t="s">
        <v>58</v>
      </c>
      <c r="H26" s="9">
        <f>if(B4="Basic",N3,if(B4="Advanced",N4,if(B4="Elite",N5,(if(B4="Exalted",N6,if(B4="Transcendent",N7,0))))))</f>
        <v>3</v>
      </c>
    </row>
    <row r="27">
      <c r="A27" s="2" t="s">
        <v>59</v>
      </c>
      <c r="B27" s="9">
        <f>B26*B10</f>
        <v>206743.75</v>
      </c>
      <c r="G27" s="2" t="s">
        <v>60</v>
      </c>
      <c r="H27" s="9">
        <f>if(B5="Basic",N3,if(B5="Advanced",N4,if(B5="Elite",N5,(if(B5="Exalted",N6,if(B5="Transcendent",N7,0))))))</f>
        <v>3</v>
      </c>
    </row>
    <row r="28">
      <c r="A28" s="2"/>
      <c r="G28" s="2" t="s">
        <v>61</v>
      </c>
      <c r="H28" s="9">
        <f>if(B6="Common",R3,if(B6="Uncommon",R4,if(B6="Rare",R5,if(B6="Legendary",R6,if(B6="Mythic",R7,0)))))</f>
        <v>16000</v>
      </c>
    </row>
    <row r="29">
      <c r="A29" s="2" t="s">
        <v>62</v>
      </c>
      <c r="B29" s="9">
        <f>if(B9="No",(B27*(6*(if(B11="Yes",E11,E4)-1)+133))/114000,((B27*(6*(if(B11="Yes",E11,E4)-1)+133))/114000)/2)</f>
        <v>241.2010417</v>
      </c>
      <c r="G29" s="2" t="s">
        <v>63</v>
      </c>
      <c r="H29" s="9">
        <f>if(B7&gt;55,10*(B7-56)+300,if(B7&gt;35,7.5*(B7-36)+147.5,if(B7&gt;15,5*(B7-16)+45,if(B7&gt;8,4*(B7-9)+16,if(B7&gt;5,2*(B7-6)+8,2 + (B7-1))))))</f>
        <v>65</v>
      </c>
    </row>
    <row r="30">
      <c r="A30" s="2" t="s">
        <v>64</v>
      </c>
      <c r="B30" s="9">
        <f>if(B12="Lesser", 1, if(B12="Regular", 3.2, if(B12="Greater", 17.6, 0)))</f>
        <v>0</v>
      </c>
      <c r="G30" s="2" t="s">
        <v>65</v>
      </c>
      <c r="H30" s="17" t="str">
        <f>if(OR(AND(H26=0,B8&lt;12),AND(H26=1,B8&lt;6),AND(H26=2,B8&lt;4),AND(H26=3,B8&lt;2),AND(H26=4,B8=0)),"YES","NO")</f>
        <v>YES</v>
      </c>
    </row>
    <row r="31">
      <c r="A31" s="2" t="s">
        <v>66</v>
      </c>
      <c r="B31" s="9">
        <f>B13 * 0.1 + B14 * 0.4 + B15 * 3.6</f>
        <v>0</v>
      </c>
    </row>
    <row r="32">
      <c r="A32" s="2" t="s">
        <v>67</v>
      </c>
      <c r="B32" s="9">
        <f>if(B16="None", 0, H38/H39)</f>
        <v>165.4666667</v>
      </c>
      <c r="G32" s="3" t="s">
        <v>68</v>
      </c>
    </row>
    <row r="33">
      <c r="A33" s="16" t="s">
        <v>69</v>
      </c>
      <c r="B33" s="9">
        <f>SUM(B29:B32)</f>
        <v>406.6677083</v>
      </c>
      <c r="G33" s="2" t="s">
        <v>70</v>
      </c>
      <c r="H33" s="9">
        <f>if(B16="Common", 2, if(B16="Uncommon", 3, if(B16="Rare", 4, if(B16="Legendary", 4, if(B16="Mythic", 4, 0)))))</f>
        <v>4</v>
      </c>
    </row>
    <row r="34">
      <c r="A34" s="2"/>
      <c r="G34" s="2" t="s">
        <v>71</v>
      </c>
      <c r="H34" s="9">
        <f>sum(B17:B19)</f>
        <v>9</v>
      </c>
    </row>
    <row r="35">
      <c r="A35" s="2" t="s">
        <v>72</v>
      </c>
      <c r="B35" s="9">
        <f>if(B9="No",7*B27*(1+0.1*if(B11="Yes", F11, F9))/100000,0)</f>
        <v>15.91926875</v>
      </c>
      <c r="G35" s="2" t="s">
        <v>73</v>
      </c>
      <c r="H35" s="9">
        <f t="array" ref="H35">VLOOKUP(H34, {M11:M19, N11:N19}, 2, false)</f>
        <v>1000000</v>
      </c>
    </row>
    <row r="36">
      <c r="A36" s="2" t="s">
        <v>74</v>
      </c>
      <c r="B36" s="9">
        <f>if(B12="Regular", 0.2, if(B12="Greater", 1.4, 0))</f>
        <v>0</v>
      </c>
      <c r="G36" s="2" t="s">
        <v>75</v>
      </c>
      <c r="H36" s="9">
        <f>(H33-B17)*(H33-B18)*(H33-B19)</f>
        <v>1</v>
      </c>
    </row>
    <row r="37">
      <c r="A37" s="2" t="s">
        <v>76</v>
      </c>
      <c r="B37" s="9">
        <f>B15 * 0.2</f>
        <v>0</v>
      </c>
      <c r="G37" s="2" t="s">
        <v>77</v>
      </c>
      <c r="H37" s="9">
        <f>if(B16="Common", R11, if(B16="Uncommon", R12, if(B16="Rare", R13, if(B16="Legendary", R14, if(B16="Mythic", R15, 0)))))</f>
        <v>780000</v>
      </c>
    </row>
    <row r="38">
      <c r="A38" s="2" t="s">
        <v>78</v>
      </c>
      <c r="B38" s="9">
        <f>if(B16="None", 0, H38/H40)</f>
        <v>10.34166667</v>
      </c>
      <c r="G38" s="2" t="s">
        <v>79</v>
      </c>
      <c r="H38" s="9">
        <f>0.0001*(10*H35*H36 + (10+H34)*H37)</f>
        <v>2482</v>
      </c>
    </row>
    <row r="39">
      <c r="A39" s="16" t="s">
        <v>80</v>
      </c>
      <c r="B39" s="9">
        <f>sum(B35:B38)</f>
        <v>26.26093542</v>
      </c>
      <c r="G39" s="2" t="s">
        <v>81</v>
      </c>
      <c r="H39" s="9">
        <f>15*H36</f>
        <v>15</v>
      </c>
    </row>
    <row r="40">
      <c r="A40" s="2"/>
      <c r="G40" s="2" t="s">
        <v>82</v>
      </c>
      <c r="H40" s="9">
        <f>240*H36</f>
        <v>240</v>
      </c>
    </row>
    <row r="41">
      <c r="A41" s="2" t="s">
        <v>83</v>
      </c>
      <c r="B41" s="9">
        <f>if(B9="Yes",floor(7*B27*(1+0.1*if(B11="Yes", F11, F9))/100000,1),0)</f>
        <v>0</v>
      </c>
    </row>
    <row r="42">
      <c r="A42" s="2" t="s">
        <v>84</v>
      </c>
      <c r="B42" s="18">
        <f>if(B9="Yes",7*B27*(1+0.1*if(B11="Yes", F11, F9))/100000 - floor(7*B27*(1+0.1*if(B11="Yes", F11, F9))/100000,1),0)</f>
        <v>0</v>
      </c>
    </row>
  </sheetData>
  <mergeCells count="4">
    <mergeCell ref="A1:D1"/>
    <mergeCell ref="A3:B3"/>
    <mergeCell ref="G21:H21"/>
    <mergeCell ref="G32:H32"/>
  </mergeCells>
  <dataValidations>
    <dataValidation type="list" allowBlank="1" showErrorMessage="1" sqref="B4:B5">
      <formula1>"Basic,Advanced,Elite,Exalted,Transcendent"</formula1>
    </dataValidation>
    <dataValidation type="list" allowBlank="1" showErrorMessage="1" sqref="B16">
      <formula1>"None,Common,Uncommon,Rare,Legendary,Mythic"</formula1>
    </dataValidation>
    <dataValidation type="list" allowBlank="1" showErrorMessage="1" sqref="B6">
      <formula1>"Common,Uncommon,Rare,Legendary,Mythic"</formula1>
    </dataValidation>
    <dataValidation type="list" allowBlank="1" showErrorMessage="1" sqref="B12">
      <formula1>"None,Lesser,Regular,Greater"</formula1>
    </dataValidation>
    <dataValidation type="list" allowBlank="1" showErrorMessage="1" sqref="B11">
      <formula1>"Yes,No"</formula1>
    </dataValidation>
    <dataValidation type="list" allowBlank="1" showErrorMessage="1" sqref="B9">
      <formula1>"Yes,No"</formula1>
    </dataValidation>
  </dataValidations>
  <drawing r:id="rId1"/>
</worksheet>
</file>